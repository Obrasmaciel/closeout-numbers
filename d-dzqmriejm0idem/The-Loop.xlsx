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stimate" sheetId="1" state="visible" r:id="rId1"/>
    <sheet name="Actuals" sheetId="2" state="visible" r:id="rId2"/>
    <sheet name="Variance &amp; Factors" sheetId="3" state="visible" r:id="rId3"/>
    <sheet name="Instructions" sheetId="4" state="visible" r:id="rId4"/>
  </sheets>
  <definedNames/>
  <calcPr calcId="124519" fullCalcOnLoad="1"/>
</workbook>
</file>

<file path=xl/styles.xml><?xml version="1.0" encoding="utf-8"?>
<styleSheet xmlns="http://schemas.openxmlformats.org/spreadsheetml/2006/main">
  <numFmts count="2">
    <numFmt numFmtId="164" formatCode="&quot;$&quot;#,##0"/>
    <numFmt numFmtId="165" formatCode="0.00x"/>
  </numFmts>
  <fonts count="12">
    <font>
      <name val="Calibri"/>
      <family val="2"/>
      <color theme="1"/>
      <sz val="11"/>
      <scheme val="minor"/>
    </font>
    <font>
      <b val="1"/>
      <color rgb="001A1A1A"/>
      <sz val="16"/>
    </font>
    <font>
      <i val="1"/>
      <color rgb="00555555"/>
      <sz val="10"/>
    </font>
    <font>
      <b val="1"/>
      <color rgb="00FFFFFF"/>
      <sz val="11"/>
    </font>
    <font>
      <b val="1"/>
    </font>
    <font>
      <b val="1"/>
      <sz val="12"/>
    </font>
    <font>
      <b val="1"/>
      <color rgb="000B5CAD"/>
      <sz val="14"/>
    </font>
    <font>
      <i val="1"/>
      <color rgb="00555555"/>
      <sz val="9"/>
    </font>
    <font>
      <i val="1"/>
      <color rgb="00B54708"/>
      <sz val="9"/>
    </font>
    <font>
      <color rgb="00555555"/>
      <sz val="10"/>
    </font>
    <font>
      <b val="1"/>
      <color rgb="00B54708"/>
      <sz val="11"/>
    </font>
    <font>
      <color rgb="00B54708"/>
      <sz val="10"/>
    </font>
  </fonts>
  <fills count="5">
    <fill>
      <patternFill/>
    </fill>
    <fill>
      <patternFill patternType="gray125"/>
    </fill>
    <fill>
      <patternFill patternType="solid">
        <fgColor rgb="000B5CAD"/>
      </patternFill>
    </fill>
    <fill>
      <patternFill patternType="solid">
        <fgColor rgb="00FFF8E6"/>
      </patternFill>
    </fill>
    <fill>
      <patternFill patternType="solid">
        <fgColor rgb="00F4F6F8"/>
      </patternFill>
    </fill>
  </fills>
  <borders count="2">
    <border>
      <left/>
      <right/>
      <top/>
      <bottom/>
      <diagonal/>
    </border>
    <border>
      <left style="thin">
        <color rgb="00D9DEE3"/>
      </left>
      <right style="thin">
        <color rgb="00D9DEE3"/>
      </right>
      <top style="thin">
        <color rgb="00D9DEE3"/>
      </top>
      <bottom style="thin">
        <color rgb="00D9DEE3"/>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0" fillId="0" borderId="1" pivotButton="0" quotePrefix="0" xfId="0"/>
    <xf numFmtId="164" fontId="0" fillId="0" borderId="1" pivotButton="0" quotePrefix="0" xfId="0"/>
    <xf numFmtId="165" fontId="0" fillId="3" borderId="1" pivotButton="0" quotePrefix="0" xfId="0"/>
    <xf numFmtId="164" fontId="4" fillId="0" borderId="1" pivotButton="0" quotePrefix="0" xfId="0"/>
    <xf numFmtId="0" fontId="4" fillId="0" borderId="0" pivotButton="0" quotePrefix="0" xfId="0"/>
    <xf numFmtId="164" fontId="5" fillId="4" borderId="1" pivotButton="0" quotePrefix="0" xfId="0"/>
    <xf numFmtId="9" fontId="0" fillId="0" borderId="1" pivotButton="0" quotePrefix="0" xfId="0"/>
    <xf numFmtId="0" fontId="5" fillId="0" borderId="0" pivotButton="0" quotePrefix="0" xfId="0"/>
    <xf numFmtId="164" fontId="6" fillId="4" borderId="1" pivotButton="0" quotePrefix="0" xfId="0"/>
    <xf numFmtId="0" fontId="7" fillId="0" borderId="0" pivotButton="0" quotePrefix="0" xfId="0"/>
    <xf numFmtId="0" fontId="8" fillId="0" borderId="0" pivotButton="0" quotePrefix="0" xfId="0"/>
    <xf numFmtId="165" fontId="4" fillId="0" borderId="1" pivotButton="0" quotePrefix="0" xfId="0"/>
    <xf numFmtId="0" fontId="9" fillId="0" borderId="1" applyAlignment="1" pivotButton="0" quotePrefix="0" xfId="0">
      <alignment wrapText="1"/>
    </xf>
    <xf numFmtId="164" fontId="4" fillId="4" borderId="1" pivotButton="0" quotePrefix="0" xfId="0"/>
    <xf numFmtId="0" fontId="10" fillId="0" borderId="0" pivotButton="0" quotePrefix="0" xfId="0"/>
    <xf numFmtId="0" fontId="9" fillId="0" borderId="0" pivotButton="0" quotePrefix="0" xfId="0"/>
    <xf numFmtId="0" fontId="6" fillId="0" borderId="0" applyAlignment="1" pivotButton="0" quotePrefix="0" xfId="0">
      <alignment horizontal="center" vertical="top"/>
    </xf>
    <xf numFmtId="0" fontId="0" fillId="0" borderId="0" applyAlignment="1" pivotButton="0" quotePrefix="0" xfId="0">
      <alignment vertical="top" wrapText="1"/>
    </xf>
    <xf numFmtId="0" fontId="11"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6"/>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20" customWidth="1" min="3" max="3"/>
    <col width="20" customWidth="1" min="4" max="4"/>
    <col width="44" customWidth="1" min="5" max="5"/>
  </cols>
  <sheetData>
    <row r="1">
      <c r="A1" s="1" t="inlineStr">
        <is>
          <t>ESTIMATE — this job</t>
        </is>
      </c>
    </row>
    <row r="2">
      <c r="A2" s="2" t="inlineStr">
        <is>
          <t>Fill the white columns. The corrected column applies what you learned from past jobs.</t>
        </is>
      </c>
    </row>
    <row r="4" ht="30" customHeight="1">
      <c r="A4" s="3" t="inlineStr">
        <is>
          <t>Phase</t>
        </is>
      </c>
      <c r="B4" s="3" t="inlineStr">
        <is>
          <t>Your estimate</t>
        </is>
      </c>
      <c r="C4" s="3" t="inlineStr">
        <is>
          <t>Correction factor
(from your last job)</t>
        </is>
      </c>
      <c r="D4" s="3" t="inlineStr">
        <is>
          <t>Corrected estimate</t>
        </is>
      </c>
      <c r="E4" s="3" t="inlineStr">
        <is>
          <t>Notes</t>
        </is>
      </c>
    </row>
    <row r="5">
      <c r="A5" s="4" t="inlineStr">
        <is>
          <t>Pre-construction &amp; permits</t>
        </is>
      </c>
      <c r="B5" s="5" t="n"/>
      <c r="C5" s="6" t="n">
        <v>1</v>
      </c>
      <c r="D5" s="7">
        <f>IF(N(B5)=0,0,B5*IF(N(C5)=0,1,C5))</f>
        <v/>
      </c>
      <c r="E5" s="4" t="n"/>
    </row>
    <row r="6">
      <c r="A6" s="4" t="inlineStr">
        <is>
          <t>Site protection &amp; logistics</t>
        </is>
      </c>
      <c r="B6" s="5" t="n"/>
      <c r="C6" s="6" t="n">
        <v>1</v>
      </c>
      <c r="D6" s="7">
        <f>IF(N(B6)=0,0,B6*IF(N(C6)=0,1,C6))</f>
        <v/>
      </c>
      <c r="E6" s="4" t="n"/>
    </row>
    <row r="7">
      <c r="A7" s="4" t="inlineStr">
        <is>
          <t>Demolition &amp; disposal</t>
        </is>
      </c>
      <c r="B7" s="5" t="n"/>
      <c r="C7" s="6" t="n">
        <v>1</v>
      </c>
      <c r="D7" s="7">
        <f>IF(N(B7)=0,0,B7*IF(N(C7)=0,1,C7))</f>
        <v/>
      </c>
      <c r="E7" s="4" t="n"/>
    </row>
    <row r="8">
      <c r="A8" s="4" t="inlineStr">
        <is>
          <t>Structural &amp; framing</t>
        </is>
      </c>
      <c r="B8" s="5" t="n"/>
      <c r="C8" s="6" t="n">
        <v>1</v>
      </c>
      <c r="D8" s="7">
        <f>IF(N(B8)=0,0,B8*IF(N(C8)=0,1,C8))</f>
        <v/>
      </c>
      <c r="E8" s="4" t="n"/>
    </row>
    <row r="9">
      <c r="A9" s="4" t="inlineStr">
        <is>
          <t>Plumbing</t>
        </is>
      </c>
      <c r="B9" s="5" t="n"/>
      <c r="C9" s="6" t="n">
        <v>1</v>
      </c>
      <c r="D9" s="7">
        <f>IF(N(B9)=0,0,B9*IF(N(C9)=0,1,C9))</f>
        <v/>
      </c>
      <c r="E9" s="4" t="n"/>
    </row>
    <row r="10">
      <c r="A10" s="4" t="inlineStr">
        <is>
          <t>Electrical</t>
        </is>
      </c>
      <c r="B10" s="5" t="n"/>
      <c r="C10" s="6" t="n">
        <v>1</v>
      </c>
      <c r="D10" s="7">
        <f>IF(N(B10)=0,0,B10*IF(N(C10)=0,1,C10))</f>
        <v/>
      </c>
      <c r="E10" s="4" t="n"/>
    </row>
    <row r="11">
      <c r="A11" s="4" t="inlineStr">
        <is>
          <t>HVAC</t>
        </is>
      </c>
      <c r="B11" s="5" t="n"/>
      <c r="C11" s="6" t="n">
        <v>1</v>
      </c>
      <c r="D11" s="7">
        <f>IF(N(B11)=0,0,B11*IF(N(C11)=0,1,C11))</f>
        <v/>
      </c>
      <c r="E11" s="4" t="n"/>
    </row>
    <row r="12">
      <c r="A12" s="4" t="inlineStr">
        <is>
          <t>Insulation &amp; drywall</t>
        </is>
      </c>
      <c r="B12" s="5" t="n"/>
      <c r="C12" s="6" t="n">
        <v>1</v>
      </c>
      <c r="D12" s="7">
        <f>IF(N(B12)=0,0,B12*IF(N(C12)=0,1,C12))</f>
        <v/>
      </c>
      <c r="E12" s="4" t="n"/>
    </row>
    <row r="13">
      <c r="A13" s="4" t="inlineStr">
        <is>
          <t>Flooring &amp; tile</t>
        </is>
      </c>
      <c r="B13" s="5" t="n"/>
      <c r="C13" s="6" t="n">
        <v>1</v>
      </c>
      <c r="D13" s="7">
        <f>IF(N(B13)=0,0,B13*IF(N(C13)=0,1,C13))</f>
        <v/>
      </c>
      <c r="E13" s="4" t="n"/>
    </row>
    <row r="14">
      <c r="A14" s="4" t="inlineStr">
        <is>
          <t>Cabinets &amp; countertops</t>
        </is>
      </c>
      <c r="B14" s="5" t="n"/>
      <c r="C14" s="6" t="n">
        <v>1</v>
      </c>
      <c r="D14" s="7">
        <f>IF(N(B14)=0,0,B14*IF(N(C14)=0,1,C14))</f>
        <v/>
      </c>
      <c r="E14" s="4" t="n"/>
    </row>
    <row r="15">
      <c r="A15" s="4" t="inlineStr">
        <is>
          <t>Trim, doors &amp; hardware</t>
        </is>
      </c>
      <c r="B15" s="5" t="n"/>
      <c r="C15" s="6" t="n">
        <v>1</v>
      </c>
      <c r="D15" s="7">
        <f>IF(N(B15)=0,0,B15*IF(N(C15)=0,1,C15))</f>
        <v/>
      </c>
      <c r="E15" s="4" t="n"/>
    </row>
    <row r="16">
      <c r="A16" s="4" t="inlineStr">
        <is>
          <t>Paint</t>
        </is>
      </c>
      <c r="B16" s="5" t="n"/>
      <c r="C16" s="6" t="n">
        <v>1</v>
      </c>
      <c r="D16" s="7">
        <f>IF(N(B16)=0,0,B16*IF(N(C16)=0,1,C16))</f>
        <v/>
      </c>
      <c r="E16" s="4" t="n"/>
    </row>
    <row r="17">
      <c r="A17" s="4" t="inlineStr">
        <is>
          <t>Fixtures &amp; appliances</t>
        </is>
      </c>
      <c r="B17" s="5" t="n"/>
      <c r="C17" s="6" t="n">
        <v>1</v>
      </c>
      <c r="D17" s="7">
        <f>IF(N(B17)=0,0,B17*IF(N(C17)=0,1,C17))</f>
        <v/>
      </c>
      <c r="E17" s="4" t="n"/>
    </row>
    <row r="18">
      <c r="A18" s="4" t="inlineStr">
        <is>
          <t>Supervision &amp; project management</t>
        </is>
      </c>
      <c r="B18" s="5" t="n"/>
      <c r="C18" s="6" t="n">
        <v>1</v>
      </c>
      <c r="D18" s="7">
        <f>IF(N(B18)=0,0,B18*IF(N(C18)=0,1,C18))</f>
        <v/>
      </c>
      <c r="E18" s="4" t="n"/>
    </row>
    <row r="19">
      <c r="A19" s="4" t="inlineStr">
        <is>
          <t>Clean, punch &amp; closeout</t>
        </is>
      </c>
      <c r="B19" s="5" t="n"/>
      <c r="C19" s="6" t="n">
        <v>1</v>
      </c>
      <c r="D19" s="7">
        <f>IF(N(B19)=0,0,B19*IF(N(C19)=0,1,C19))</f>
        <v/>
      </c>
      <c r="E19" s="4" t="n"/>
    </row>
    <row r="20">
      <c r="A20" s="8" t="inlineStr">
        <is>
          <t>TOTAL DIRECT COST</t>
        </is>
      </c>
      <c r="B20" s="9">
        <f>SUM(B5:B19)</f>
        <v/>
      </c>
      <c r="D20" s="9">
        <f>SUM(D5:D19)</f>
        <v/>
      </c>
    </row>
    <row r="22">
      <c r="A22" s="8" t="inlineStr">
        <is>
          <t>Overhead &amp; profit markup</t>
        </is>
      </c>
      <c r="B22" s="10" t="n">
        <v>0.2</v>
      </c>
    </row>
    <row r="23">
      <c r="A23" s="11" t="inlineStr">
        <is>
          <t>BID PRICE</t>
        </is>
      </c>
      <c r="B23" s="12">
        <f>D20*(1+B22)</f>
        <v/>
      </c>
    </row>
    <row r="25">
      <c r="A25" s="13" t="inlineStr">
        <is>
          <t>Markup is not profit. It has to cover overhead first — see the guide.</t>
        </is>
      </c>
    </row>
    <row r="26">
      <c r="A26" s="14" t="inlineStr">
        <is>
          <t>The shaded factor column is yours to type in: copy it from the Variance tab of your LAST job. On job one, leave every factor at 1.00 — you have no history yet, and pretending otherwise is guessing.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
  <sheetViews>
    <sheetView workbookViewId="0">
      <pane ySplit="4" topLeftCell="A5" activePane="bottomLeft" state="frozen"/>
      <selection pane="bottomLeft" activeCell="A1" sqref="A1"/>
    </sheetView>
  </sheetViews>
  <sheetFormatPr baseColWidth="8" defaultRowHeight="15"/>
  <cols>
    <col width="34" customWidth="1" min="1" max="1"/>
    <col width="16" customWidth="1" min="2" max="2"/>
    <col width="52" customWidth="1" min="3" max="3"/>
    <col width="24" customWidth="1" min="4" max="4"/>
  </cols>
  <sheetData>
    <row r="1">
      <c r="A1" s="1" t="inlineStr">
        <is>
          <t>ACTUALS — what it really cost</t>
        </is>
      </c>
    </row>
    <row r="2">
      <c r="A2" s="2" t="inlineStr">
        <is>
          <t>Fill this at closeout, while you still remember. This is the only input that makes the kit work.</t>
        </is>
      </c>
    </row>
    <row r="4" ht="30" customHeight="1">
      <c r="A4" s="3" t="inlineStr">
        <is>
          <t>Phase</t>
        </is>
      </c>
      <c r="B4" s="3" t="inlineStr">
        <is>
          <t>Actual cost</t>
        </is>
      </c>
      <c r="C4" s="3" t="inlineStr">
        <is>
          <t>What drove the difference</t>
        </is>
      </c>
      <c r="D4" s="3" t="inlineStr">
        <is>
          <t>Was it price or scope?</t>
        </is>
      </c>
    </row>
    <row r="5">
      <c r="A5" s="4" t="inlineStr">
        <is>
          <t>Pre-construction &amp; permits</t>
        </is>
      </c>
      <c r="B5" s="5" t="n"/>
      <c r="C5" s="4" t="n"/>
      <c r="D5" s="4" t="n"/>
    </row>
    <row r="6">
      <c r="A6" s="4" t="inlineStr">
        <is>
          <t>Site protection &amp; logistics</t>
        </is>
      </c>
      <c r="B6" s="5" t="n"/>
      <c r="C6" s="4" t="n"/>
      <c r="D6" s="4" t="n"/>
    </row>
    <row r="7">
      <c r="A7" s="4" t="inlineStr">
        <is>
          <t>Demolition &amp; disposal</t>
        </is>
      </c>
      <c r="B7" s="5" t="n"/>
      <c r="C7" s="4" t="n"/>
      <c r="D7" s="4" t="n"/>
    </row>
    <row r="8">
      <c r="A8" s="4" t="inlineStr">
        <is>
          <t>Structural &amp; framing</t>
        </is>
      </c>
      <c r="B8" s="5" t="n"/>
      <c r="C8" s="4" t="n"/>
      <c r="D8" s="4" t="n"/>
    </row>
    <row r="9">
      <c r="A9" s="4" t="inlineStr">
        <is>
          <t>Plumbing</t>
        </is>
      </c>
      <c r="B9" s="5" t="n"/>
      <c r="C9" s="4" t="n"/>
      <c r="D9" s="4" t="n"/>
    </row>
    <row r="10">
      <c r="A10" s="4" t="inlineStr">
        <is>
          <t>Electrical</t>
        </is>
      </c>
      <c r="B10" s="5" t="n"/>
      <c r="C10" s="4" t="n"/>
      <c r="D10" s="4" t="n"/>
    </row>
    <row r="11">
      <c r="A11" s="4" t="inlineStr">
        <is>
          <t>HVAC</t>
        </is>
      </c>
      <c r="B11" s="5" t="n"/>
      <c r="C11" s="4" t="n"/>
      <c r="D11" s="4" t="n"/>
    </row>
    <row r="12">
      <c r="A12" s="4" t="inlineStr">
        <is>
          <t>Insulation &amp; drywall</t>
        </is>
      </c>
      <c r="B12" s="5" t="n"/>
      <c r="C12" s="4" t="n"/>
      <c r="D12" s="4" t="n"/>
    </row>
    <row r="13">
      <c r="A13" s="4" t="inlineStr">
        <is>
          <t>Flooring &amp; tile</t>
        </is>
      </c>
      <c r="B13" s="5" t="n"/>
      <c r="C13" s="4" t="n"/>
      <c r="D13" s="4" t="n"/>
    </row>
    <row r="14">
      <c r="A14" s="4" t="inlineStr">
        <is>
          <t>Cabinets &amp; countertops</t>
        </is>
      </c>
      <c r="B14" s="5" t="n"/>
      <c r="C14" s="4" t="n"/>
      <c r="D14" s="4" t="n"/>
    </row>
    <row r="15">
      <c r="A15" s="4" t="inlineStr">
        <is>
          <t>Trim, doors &amp; hardware</t>
        </is>
      </c>
      <c r="B15" s="5" t="n"/>
      <c r="C15" s="4" t="n"/>
      <c r="D15" s="4" t="n"/>
    </row>
    <row r="16">
      <c r="A16" s="4" t="inlineStr">
        <is>
          <t>Paint</t>
        </is>
      </c>
      <c r="B16" s="5" t="n"/>
      <c r="C16" s="4" t="n"/>
      <c r="D16" s="4" t="n"/>
    </row>
    <row r="17">
      <c r="A17" s="4" t="inlineStr">
        <is>
          <t>Fixtures &amp; appliances</t>
        </is>
      </c>
      <c r="B17" s="5" t="n"/>
      <c r="C17" s="4" t="n"/>
      <c r="D17" s="4" t="n"/>
    </row>
    <row r="18">
      <c r="A18" s="4" t="inlineStr">
        <is>
          <t>Supervision &amp; project management</t>
        </is>
      </c>
      <c r="B18" s="5" t="n"/>
      <c r="C18" s="4" t="n"/>
      <c r="D18" s="4" t="n"/>
    </row>
    <row r="19">
      <c r="A19" s="4" t="inlineStr">
        <is>
          <t>Clean, punch &amp; closeout</t>
        </is>
      </c>
      <c r="B19" s="5" t="n"/>
      <c r="C19" s="4" t="n"/>
      <c r="D19" s="4" t="n"/>
    </row>
    <row r="20">
      <c r="A20" s="8" t="inlineStr">
        <is>
          <t>TOTAL ACTUAL</t>
        </is>
      </c>
      <c r="B20" s="9">
        <f>SUM(B5:B19)</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3"/>
  <sheetViews>
    <sheetView workbookViewId="0">
      <pane ySplit="4" topLeftCell="A5" activePane="bottomLeft" state="frozen"/>
      <selection pane="bottomLeft" activeCell="A1" sqref="A1"/>
    </sheetView>
  </sheetViews>
  <sheetFormatPr baseColWidth="8" defaultRowHeight="15"/>
  <cols>
    <col width="34" customWidth="1" min="1" max="1"/>
    <col width="14" customWidth="1" min="2" max="2"/>
    <col width="14" customWidth="1" min="3" max="3"/>
    <col width="14" customWidth="1" min="4" max="4"/>
    <col width="18" customWidth="1" min="5" max="5"/>
    <col width="44" customWidth="1" min="6" max="6"/>
  </cols>
  <sheetData>
    <row r="1">
      <c r="A1" s="1" t="inlineStr">
        <is>
          <t>VARIANCE &amp; CORRECTION FACTORS</t>
        </is>
      </c>
    </row>
    <row r="2">
      <c r="A2" s="2" t="inlineStr">
        <is>
          <t>Nothing to fill here. Read it. The factor column feeds back into the Estimate tab automatically.</t>
        </is>
      </c>
    </row>
    <row r="4" ht="30" customHeight="1">
      <c r="A4" s="3" t="inlineStr">
        <is>
          <t>Phase</t>
        </is>
      </c>
      <c r="B4" s="3" t="inlineStr">
        <is>
          <t>Estimated</t>
        </is>
      </c>
      <c r="C4" s="3" t="inlineStr">
        <is>
          <t>Actual</t>
        </is>
      </c>
      <c r="D4" s="3" t="inlineStr">
        <is>
          <t>Variance</t>
        </is>
      </c>
      <c r="E4" s="3" t="inlineStr">
        <is>
          <t>Correction factor</t>
        </is>
      </c>
      <c r="F4" s="3" t="inlineStr">
        <is>
          <t>Read this as</t>
        </is>
      </c>
    </row>
    <row r="5">
      <c r="A5" s="4" t="inlineStr">
        <is>
          <t>Pre-construction &amp; permits</t>
        </is>
      </c>
      <c r="B5" s="5">
        <f>Estimate!B5</f>
        <v/>
      </c>
      <c r="C5" s="5">
        <f>Actuals!B5</f>
        <v/>
      </c>
      <c r="D5" s="5">
        <f>IF(N(B5)=0,"",C5-B5)</f>
        <v/>
      </c>
      <c r="E5" s="15">
        <f>IF(OR(N(B5)=0,N(C5)=0),1,ROUND(C5/B5,2))</f>
        <v/>
      </c>
      <c r="F5" s="16">
        <f>IF(OR(N(B5)=0,N(C5)=0),"add this job's numbers",IF(E5&gt;1.1,"you underprice this phase — the factor now corrects it",IF(E5&lt;0.9,"you pad this phase — you may be losing bids on it","this phase is under control")))</f>
        <v/>
      </c>
    </row>
    <row r="6">
      <c r="A6" s="4" t="inlineStr">
        <is>
          <t>Site protection &amp; logistics</t>
        </is>
      </c>
      <c r="B6" s="5">
        <f>Estimate!B6</f>
        <v/>
      </c>
      <c r="C6" s="5">
        <f>Actuals!B6</f>
        <v/>
      </c>
      <c r="D6" s="5">
        <f>IF(N(B6)=0,"",C6-B6)</f>
        <v/>
      </c>
      <c r="E6" s="15">
        <f>IF(OR(N(B6)=0,N(C6)=0),1,ROUND(C6/B6,2))</f>
        <v/>
      </c>
      <c r="F6" s="16">
        <f>IF(OR(N(B6)=0,N(C6)=0),"add this job's numbers",IF(E6&gt;1.1,"you underprice this phase — the factor now corrects it",IF(E6&lt;0.9,"you pad this phase — you may be losing bids on it","this phase is under control")))</f>
        <v/>
      </c>
    </row>
    <row r="7">
      <c r="A7" s="4" t="inlineStr">
        <is>
          <t>Demolition &amp; disposal</t>
        </is>
      </c>
      <c r="B7" s="5">
        <f>Estimate!B7</f>
        <v/>
      </c>
      <c r="C7" s="5">
        <f>Actuals!B7</f>
        <v/>
      </c>
      <c r="D7" s="5">
        <f>IF(N(B7)=0,"",C7-B7)</f>
        <v/>
      </c>
      <c r="E7" s="15">
        <f>IF(OR(N(B7)=0,N(C7)=0),1,ROUND(C7/B7,2))</f>
        <v/>
      </c>
      <c r="F7" s="16">
        <f>IF(OR(N(B7)=0,N(C7)=0),"add this job's numbers",IF(E7&gt;1.1,"you underprice this phase — the factor now corrects it",IF(E7&lt;0.9,"you pad this phase — you may be losing bids on it","this phase is under control")))</f>
        <v/>
      </c>
    </row>
    <row r="8">
      <c r="A8" s="4" t="inlineStr">
        <is>
          <t>Structural &amp; framing</t>
        </is>
      </c>
      <c r="B8" s="5">
        <f>Estimate!B8</f>
        <v/>
      </c>
      <c r="C8" s="5">
        <f>Actuals!B8</f>
        <v/>
      </c>
      <c r="D8" s="5">
        <f>IF(N(B8)=0,"",C8-B8)</f>
        <v/>
      </c>
      <c r="E8" s="15">
        <f>IF(OR(N(B8)=0,N(C8)=0),1,ROUND(C8/B8,2))</f>
        <v/>
      </c>
      <c r="F8" s="16">
        <f>IF(OR(N(B8)=0,N(C8)=0),"add this job's numbers",IF(E8&gt;1.1,"you underprice this phase — the factor now corrects it",IF(E8&lt;0.9,"you pad this phase — you may be losing bids on it","this phase is under control")))</f>
        <v/>
      </c>
    </row>
    <row r="9">
      <c r="A9" s="4" t="inlineStr">
        <is>
          <t>Plumbing</t>
        </is>
      </c>
      <c r="B9" s="5">
        <f>Estimate!B9</f>
        <v/>
      </c>
      <c r="C9" s="5">
        <f>Actuals!B9</f>
        <v/>
      </c>
      <c r="D9" s="5">
        <f>IF(N(B9)=0,"",C9-B9)</f>
        <v/>
      </c>
      <c r="E9" s="15">
        <f>IF(OR(N(B9)=0,N(C9)=0),1,ROUND(C9/B9,2))</f>
        <v/>
      </c>
      <c r="F9" s="16">
        <f>IF(OR(N(B9)=0,N(C9)=0),"add this job's numbers",IF(E9&gt;1.1,"you underprice this phase — the factor now corrects it",IF(E9&lt;0.9,"you pad this phase — you may be losing bids on it","this phase is under control")))</f>
        <v/>
      </c>
    </row>
    <row r="10">
      <c r="A10" s="4" t="inlineStr">
        <is>
          <t>Electrical</t>
        </is>
      </c>
      <c r="B10" s="5">
        <f>Estimate!B10</f>
        <v/>
      </c>
      <c r="C10" s="5">
        <f>Actuals!B10</f>
        <v/>
      </c>
      <c r="D10" s="5">
        <f>IF(N(B10)=0,"",C10-B10)</f>
        <v/>
      </c>
      <c r="E10" s="15">
        <f>IF(OR(N(B10)=0,N(C10)=0),1,ROUND(C10/B10,2))</f>
        <v/>
      </c>
      <c r="F10" s="16">
        <f>IF(OR(N(B10)=0,N(C10)=0),"add this job's numbers",IF(E10&gt;1.1,"you underprice this phase — the factor now corrects it",IF(E10&lt;0.9,"you pad this phase — you may be losing bids on it","this phase is under control")))</f>
        <v/>
      </c>
    </row>
    <row r="11">
      <c r="A11" s="4" t="inlineStr">
        <is>
          <t>HVAC</t>
        </is>
      </c>
      <c r="B11" s="5">
        <f>Estimate!B11</f>
        <v/>
      </c>
      <c r="C11" s="5">
        <f>Actuals!B11</f>
        <v/>
      </c>
      <c r="D11" s="5">
        <f>IF(N(B11)=0,"",C11-B11)</f>
        <v/>
      </c>
      <c r="E11" s="15">
        <f>IF(OR(N(B11)=0,N(C11)=0),1,ROUND(C11/B11,2))</f>
        <v/>
      </c>
      <c r="F11" s="16">
        <f>IF(OR(N(B11)=0,N(C11)=0),"add this job's numbers",IF(E11&gt;1.1,"you underprice this phase — the factor now corrects it",IF(E11&lt;0.9,"you pad this phase — you may be losing bids on it","this phase is under control")))</f>
        <v/>
      </c>
    </row>
    <row r="12">
      <c r="A12" s="4" t="inlineStr">
        <is>
          <t>Insulation &amp; drywall</t>
        </is>
      </c>
      <c r="B12" s="5">
        <f>Estimate!B12</f>
        <v/>
      </c>
      <c r="C12" s="5">
        <f>Actuals!B12</f>
        <v/>
      </c>
      <c r="D12" s="5">
        <f>IF(N(B12)=0,"",C12-B12)</f>
        <v/>
      </c>
      <c r="E12" s="15">
        <f>IF(OR(N(B12)=0,N(C12)=0),1,ROUND(C12/B12,2))</f>
        <v/>
      </c>
      <c r="F12" s="16">
        <f>IF(OR(N(B12)=0,N(C12)=0),"add this job's numbers",IF(E12&gt;1.1,"you underprice this phase — the factor now corrects it",IF(E12&lt;0.9,"you pad this phase — you may be losing bids on it","this phase is under control")))</f>
        <v/>
      </c>
    </row>
    <row r="13">
      <c r="A13" s="4" t="inlineStr">
        <is>
          <t>Flooring &amp; tile</t>
        </is>
      </c>
      <c r="B13" s="5">
        <f>Estimate!B13</f>
        <v/>
      </c>
      <c r="C13" s="5">
        <f>Actuals!B13</f>
        <v/>
      </c>
      <c r="D13" s="5">
        <f>IF(N(B13)=0,"",C13-B13)</f>
        <v/>
      </c>
      <c r="E13" s="15">
        <f>IF(OR(N(B13)=0,N(C13)=0),1,ROUND(C13/B13,2))</f>
        <v/>
      </c>
      <c r="F13" s="16">
        <f>IF(OR(N(B13)=0,N(C13)=0),"add this job's numbers",IF(E13&gt;1.1,"you underprice this phase — the factor now corrects it",IF(E13&lt;0.9,"you pad this phase — you may be losing bids on it","this phase is under control")))</f>
        <v/>
      </c>
    </row>
    <row r="14">
      <c r="A14" s="4" t="inlineStr">
        <is>
          <t>Cabinets &amp; countertops</t>
        </is>
      </c>
      <c r="B14" s="5">
        <f>Estimate!B14</f>
        <v/>
      </c>
      <c r="C14" s="5">
        <f>Actuals!B14</f>
        <v/>
      </c>
      <c r="D14" s="5">
        <f>IF(N(B14)=0,"",C14-B14)</f>
        <v/>
      </c>
      <c r="E14" s="15">
        <f>IF(OR(N(B14)=0,N(C14)=0),1,ROUND(C14/B14,2))</f>
        <v/>
      </c>
      <c r="F14" s="16">
        <f>IF(OR(N(B14)=0,N(C14)=0),"add this job's numbers",IF(E14&gt;1.1,"you underprice this phase — the factor now corrects it",IF(E14&lt;0.9,"you pad this phase — you may be losing bids on it","this phase is under control")))</f>
        <v/>
      </c>
    </row>
    <row r="15">
      <c r="A15" s="4" t="inlineStr">
        <is>
          <t>Trim, doors &amp; hardware</t>
        </is>
      </c>
      <c r="B15" s="5">
        <f>Estimate!B15</f>
        <v/>
      </c>
      <c r="C15" s="5">
        <f>Actuals!B15</f>
        <v/>
      </c>
      <c r="D15" s="5">
        <f>IF(N(B15)=0,"",C15-B15)</f>
        <v/>
      </c>
      <c r="E15" s="15">
        <f>IF(OR(N(B15)=0,N(C15)=0),1,ROUND(C15/B15,2))</f>
        <v/>
      </c>
      <c r="F15" s="16">
        <f>IF(OR(N(B15)=0,N(C15)=0),"add this job's numbers",IF(E15&gt;1.1,"you underprice this phase — the factor now corrects it",IF(E15&lt;0.9,"you pad this phase — you may be losing bids on it","this phase is under control")))</f>
        <v/>
      </c>
    </row>
    <row r="16">
      <c r="A16" s="4" t="inlineStr">
        <is>
          <t>Paint</t>
        </is>
      </c>
      <c r="B16" s="5">
        <f>Estimate!B16</f>
        <v/>
      </c>
      <c r="C16" s="5">
        <f>Actuals!B16</f>
        <v/>
      </c>
      <c r="D16" s="5">
        <f>IF(N(B16)=0,"",C16-B16)</f>
        <v/>
      </c>
      <c r="E16" s="15">
        <f>IF(OR(N(B16)=0,N(C16)=0),1,ROUND(C16/B16,2))</f>
        <v/>
      </c>
      <c r="F16" s="16">
        <f>IF(OR(N(B16)=0,N(C16)=0),"add this job's numbers",IF(E16&gt;1.1,"you underprice this phase — the factor now corrects it",IF(E16&lt;0.9,"you pad this phase — you may be losing bids on it","this phase is under control")))</f>
        <v/>
      </c>
    </row>
    <row r="17">
      <c r="A17" s="4" t="inlineStr">
        <is>
          <t>Fixtures &amp; appliances</t>
        </is>
      </c>
      <c r="B17" s="5">
        <f>Estimate!B17</f>
        <v/>
      </c>
      <c r="C17" s="5">
        <f>Actuals!B17</f>
        <v/>
      </c>
      <c r="D17" s="5">
        <f>IF(N(B17)=0,"",C17-B17)</f>
        <v/>
      </c>
      <c r="E17" s="15">
        <f>IF(OR(N(B17)=0,N(C17)=0),1,ROUND(C17/B17,2))</f>
        <v/>
      </c>
      <c r="F17" s="16">
        <f>IF(OR(N(B17)=0,N(C17)=0),"add this job's numbers",IF(E17&gt;1.1,"you underprice this phase — the factor now corrects it",IF(E17&lt;0.9,"you pad this phase — you may be losing bids on it","this phase is under control")))</f>
        <v/>
      </c>
    </row>
    <row r="18">
      <c r="A18" s="4" t="inlineStr">
        <is>
          <t>Supervision &amp; project management</t>
        </is>
      </c>
      <c r="B18" s="5">
        <f>Estimate!B18</f>
        <v/>
      </c>
      <c r="C18" s="5">
        <f>Actuals!B18</f>
        <v/>
      </c>
      <c r="D18" s="5">
        <f>IF(N(B18)=0,"",C18-B18)</f>
        <v/>
      </c>
      <c r="E18" s="15">
        <f>IF(OR(N(B18)=0,N(C18)=0),1,ROUND(C18/B18,2))</f>
        <v/>
      </c>
      <c r="F18" s="16">
        <f>IF(OR(N(B18)=0,N(C18)=0),"add this job's numbers",IF(E18&gt;1.1,"you underprice this phase — the factor now corrects it",IF(E18&lt;0.9,"you pad this phase — you may be losing bids on it","this phase is under control")))</f>
        <v/>
      </c>
    </row>
    <row r="19">
      <c r="A19" s="4" t="inlineStr">
        <is>
          <t>Clean, punch &amp; closeout</t>
        </is>
      </c>
      <c r="B19" s="5">
        <f>Estimate!B19</f>
        <v/>
      </c>
      <c r="C19" s="5">
        <f>Actuals!B19</f>
        <v/>
      </c>
      <c r="D19" s="5">
        <f>IF(N(B19)=0,"",C19-B19)</f>
        <v/>
      </c>
      <c r="E19" s="15">
        <f>IF(OR(N(B19)=0,N(C19)=0),1,ROUND(C19/B19,2))</f>
        <v/>
      </c>
      <c r="F19" s="16">
        <f>IF(OR(N(B19)=0,N(C19)=0),"add this job's numbers",IF(E19&gt;1.1,"you underprice this phase — the factor now corrects it",IF(E19&lt;0.9,"you pad this phase — you may be losing bids on it","this phase is under control")))</f>
        <v/>
      </c>
    </row>
    <row r="20">
      <c r="A20" s="8" t="inlineStr">
        <is>
          <t>TOTAL</t>
        </is>
      </c>
      <c r="B20" s="17">
        <f>SUM(B5:B19)</f>
        <v/>
      </c>
      <c r="C20" s="17">
        <f>SUM(C5:C19)</f>
        <v/>
      </c>
      <c r="D20" s="17">
        <f>C20-B20</f>
        <v/>
      </c>
    </row>
    <row r="22">
      <c r="A22" s="18" t="inlineStr">
        <is>
          <t>One job is an anecdote. Five jobs is your number.</t>
        </is>
      </c>
    </row>
    <row r="23">
      <c r="A23" s="19" t="inlineStr">
        <is>
          <t>Copy this file per job. After five, the factors stop moving much — that is when they are worth trusting.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8"/>
  <sheetViews>
    <sheetView workbookViewId="0">
      <pane ySplit="4" topLeftCell="A5" activePane="bottomLeft" state="frozen"/>
      <selection pane="bottomLeft" activeCell="A1" sqref="A1"/>
    </sheetView>
  </sheetViews>
  <sheetFormatPr baseColWidth="8" defaultRowHeight="15"/>
  <cols>
    <col width="6" customWidth="1" min="1" max="1"/>
    <col width="104" customWidth="1" min="2" max="2"/>
  </cols>
  <sheetData>
    <row r="1">
      <c r="A1" s="1" t="inlineStr">
        <is>
          <t>HOW TO RUN THE LOOP</t>
        </is>
      </c>
    </row>
    <row r="2">
      <c r="A2" s="2" t="inlineStr">
        <is>
          <t>Five steps. The whole kit is this.</t>
        </is>
      </c>
    </row>
    <row r="5" ht="44" customHeight="1">
      <c r="A5" s="20" t="inlineStr">
        <is>
          <t>1</t>
        </is>
      </c>
      <c r="B5" s="21" t="inlineStr">
        <is>
          <t>Copy this file for the job. Name it with the job name. One file per job — that is the whole filing system.</t>
        </is>
      </c>
    </row>
    <row r="7" ht="44" customHeight="1">
      <c r="A7" s="20" t="inlineStr">
        <is>
          <t>2</t>
        </is>
      </c>
      <c r="B7" s="21" t="inlineStr">
        <is>
          <t>Fill the Estimate tab, one number per phase. Use the Missed Line Items Checklist before you call it done.</t>
        </is>
      </c>
    </row>
    <row r="9" ht="44" customHeight="1">
      <c r="A9" s="20" t="inlineStr">
        <is>
          <t>3</t>
        </is>
      </c>
      <c r="B9" s="21" t="inlineStr">
        <is>
          <t>Bid the Corrected total, not your raw total — the factors carry what past jobs taught you. On job one there is no history, so the two are the same.</t>
        </is>
      </c>
    </row>
    <row r="11" ht="44" customHeight="1">
      <c r="A11" s="20" t="inlineStr">
        <is>
          <t>4</t>
        </is>
      </c>
      <c r="B11" s="21" t="inlineStr">
        <is>
          <t>At closeout, fill the Actuals tab. Write the reason in plain words and mark whether it was price or scope. Do it the week the job ends, not at tax time.</t>
        </is>
      </c>
    </row>
    <row r="13" ht="44" customHeight="1">
      <c r="A13" s="20" t="inlineStr">
        <is>
          <t>5</t>
        </is>
      </c>
      <c r="B13" s="21" t="inlineStr">
        <is>
          <t>Read Variance &amp; Factors. Carry the factors into the next job's file. After five jobs they stabilize — that is your number, and nobody else has it.</t>
        </is>
      </c>
    </row>
    <row r="16" ht="74" customHeight="1">
      <c r="B16" s="22" t="inlineStr">
        <is>
          <t>Price vs. scope matters: if the cost went up because material got more expensive, that is price, and the factor should carry it. If it went up because you did work that was never in the estimate, that is scope, and the fix is the checklist and the change order — not the factor. Marking this wrong is the one way to teach the loop the wrong lesson.</t>
        </is>
      </c>
    </row>
    <row r="18">
      <c r="B18" s="13" t="inlineStr">
        <is>
          <t>Excel 365 / 2021+. Formulas are visible and unlocked — click any cell and read it. It is your file.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2026-08-07T10:17:49Z</dcterms:created>
  <dcterms:modified xsi:type="dcterms:W3CDTF">2026-08-07T10:17:49Z</dcterms:modified>
</cp:coreProperties>
</file>